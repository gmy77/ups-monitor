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9CDD6E1E-268A-428F-A405-70B87AB12E2E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Codici" sheetId="1" r:id="rId1"/>
    <sheet name="Legenda" sheetId="2" r:id="rId2"/>
  </sheets>
  <definedNames>
    <definedName name="_xlnm._FilterDatabase" localSheetId="0" hidden="1">Codici!$A$1:$H$98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1" i="1"/>
  <c r="C60" i="1"/>
  <c r="C59" i="1"/>
  <c r="C58" i="1"/>
  <c r="C57" i="1"/>
  <c r="C56" i="1"/>
  <c r="C55" i="1"/>
  <c r="C54" i="1"/>
  <c r="C53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B20" i="1"/>
  <c r="C20" i="1" s="1"/>
  <c r="C19" i="1"/>
  <c r="C18" i="1"/>
  <c r="C17" i="1"/>
  <c r="C16" i="1"/>
  <c r="C15" i="1"/>
  <c r="C14" i="1"/>
  <c r="C13" i="1"/>
  <c r="C11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UPS Monitor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Valori di esempio letti da un Back-UPS CS 650 (BK650EI). In blu = dati letti, in nero = calcoli.</t>
        </r>
      </text>
    </comment>
  </commentList>
</comments>
</file>

<file path=xl/sharedStrings.xml><?xml version="1.0" encoding="utf-8"?>
<sst xmlns="http://schemas.openxmlformats.org/spreadsheetml/2006/main" count="587" uniqueCount="279">
  <si>
    <t>Codice HID</t>
  </si>
  <si>
    <t>Valore letto</t>
  </si>
  <si>
    <t>Valore leggibile</t>
  </si>
  <si>
    <t>Cosa significa</t>
  </si>
  <si>
    <t>Gruppo</t>
  </si>
  <si>
    <t>Tipo</t>
  </si>
  <si>
    <t>Certezza</t>
  </si>
  <si>
    <t>Note</t>
  </si>
  <si>
    <t>UPS.iManufacturer</t>
  </si>
  <si>
    <t>American Power Conversion</t>
  </si>
  <si>
    <t>Produttore</t>
  </si>
  <si>
    <t>1 · Identità</t>
  </si>
  <si>
    <t>Standard HID</t>
  </si>
  <si>
    <t>Certo</t>
  </si>
  <si>
    <t>UPS.iName</t>
  </si>
  <si>
    <t>APC</t>
  </si>
  <si>
    <t>Nome breve del produttore</t>
  </si>
  <si>
    <t>UPS.iProduct</t>
  </si>
  <si>
    <t>Back-UPS CS 650</t>
  </si>
  <si>
    <t>Modello</t>
  </si>
  <si>
    <t>UPS.iSerialNumber</t>
  </si>
  <si>
    <t>(numero di serie)</t>
  </si>
  <si>
    <t>Numero di serie</t>
  </si>
  <si>
    <t>Nei seriali APC di questa epoca le cifre dopo le due lettere indicano anno e settimana di produzione (es. ..0511.. = 2005, settimana 11)</t>
  </si>
  <si>
    <t>UPS.ManufactureDate</t>
  </si>
  <si>
    <t>Data di produzione dell'UPS</t>
  </si>
  <si>
    <t>Formato HID: (anno-1980)×512 + mese×32 + giorno</t>
  </si>
  <si>
    <t>UPS.PowerSummary.iProduct</t>
  </si>
  <si>
    <t>Back-UPS CS 650 FW:817.v2.I USB FW:v2</t>
  </si>
  <si>
    <t>Modello completo con versioni firmware</t>
  </si>
  <si>
    <t>Firmware UPS 817.v2.I, firmware USB v2 (non aggiornabili)</t>
  </si>
  <si>
    <t>UPS.PowerSummary.iManufacturer</t>
  </si>
  <si>
    <t>Produttore (copia nel riepilogo)</t>
  </si>
  <si>
    <t>UPS.PowerSummary.iOEMInformation</t>
  </si>
  <si>
    <t>Informazioni OEM</t>
  </si>
  <si>
    <t>UPS.PowerSummary.iSerialNumber</t>
  </si>
  <si>
    <t>Numero di serie (copia nel riepilogo)</t>
  </si>
  <si>
    <t>UPS.PowerSummary.ManufactureDate</t>
  </si>
  <si>
    <t>Data di produzione (copia nel riepilogo)</t>
  </si>
  <si>
    <t>UPS.0xFF86:0x0079</t>
  </si>
  <si>
    <t>Revisione firmware/USB interna APC</t>
  </si>
  <si>
    <t>APC proprietario</t>
  </si>
  <si>
    <t>Probabile</t>
  </si>
  <si>
    <t>NUT la chiama APC_USB_FirmwareRevision; il valore 8 non corrisponde in modo evidente a 'v2'</t>
  </si>
  <si>
    <t>UPS.Input.Voltage</t>
  </si>
  <si>
    <t>Tensione di rete misurata in ingresso</t>
  </si>
  <si>
    <t>2 · Rete elettrica e uscita</t>
  </si>
  <si>
    <t>Rete italiana: 230 V ±10% (207–253 V)</t>
  </si>
  <si>
    <t>UPS.Input.ConfigVoltage</t>
  </si>
  <si>
    <t>Tensione di rete nominale</t>
  </si>
  <si>
    <t>UPS.Output.Voltage</t>
  </si>
  <si>
    <t>Tensione di uscita</t>
  </si>
  <si>
    <t>Sul Back-UPS CS è il valore nominale, non una misura</t>
  </si>
  <si>
    <t>UPS.Output.ConfigVoltage</t>
  </si>
  <si>
    <t>Tensione di uscita nominale</t>
  </si>
  <si>
    <t>UPS.Output.Frequency</t>
  </si>
  <si>
    <t>Frequenza di uscita</t>
  </si>
  <si>
    <t>UPS.Output.PercentLoad</t>
  </si>
  <si>
    <t>Carico attuale in percentuale della potenza massima</t>
  </si>
  <si>
    <t>UPS.Output.ConfigActivePower</t>
  </si>
  <si>
    <t>Potenza massima erogabile</t>
  </si>
  <si>
    <t>650 VA = 400 W reali</t>
  </si>
  <si>
    <t>(calcolato)</t>
  </si>
  <si>
    <t>Potenza assorbita stimata = carico % × 400 W</t>
  </si>
  <si>
    <t>Calcolo</t>
  </si>
  <si>
    <t>Non è un codice dell'UPS: è ricavato dalle due righe sopra</t>
  </si>
  <si>
    <t>UPS.Output.LowVoltageTransfer</t>
  </si>
  <si>
    <t>Sotto questa tensione l'UPS passa a batteria</t>
  </si>
  <si>
    <t>Scrivibile: l'UPS accetta ogni valore intero 160–196 V (verificato scrivendo e rileggendo). Di fabbrica 196</t>
  </si>
  <si>
    <t>UPS.Output.HighVoltageTransfer</t>
  </si>
  <si>
    <t>Sopra questa tensione l'UPS passa a batteria</t>
  </si>
  <si>
    <t>Scrivibile: l'UPS accetta ogni valore intero 256–278 V (verificato scrivendo e rileggendo). Di fabbrica 256</t>
  </si>
  <si>
    <t>UPS.Input.0xFF86:0x0061</t>
  </si>
  <si>
    <t>Sensibilità ai disturbi di rete</t>
  </si>
  <si>
    <t>Range dichiarato 0–2. Alta = interviene anche per piccole distorsioni</t>
  </si>
  <si>
    <t>UPS.Input.0xFF86:0x0052</t>
  </si>
  <si>
    <t>Causa dell'ultimo passaggio a batteria</t>
  </si>
  <si>
    <t>Decodifica dal progetto NUT. Il monitor la usa per le micro-interruzioni</t>
  </si>
  <si>
    <t>UPS.Battery.Voltage</t>
  </si>
  <si>
    <t>Tensione attuale della batteria</t>
  </si>
  <si>
    <t>3 · Batteria</t>
  </si>
  <si>
    <t>13,5–13,8 V = mantenimento a piena carica. A batteria scende verso 11–12 V</t>
  </si>
  <si>
    <t>UPS.Battery.ConfigVoltage</t>
  </si>
  <si>
    <t>Tensione nominale della batteria</t>
  </si>
  <si>
    <t>UPS.Battery.RemainingCapacity</t>
  </si>
  <si>
    <t>Carica residua</t>
  </si>
  <si>
    <t>UPS.Battery.RunTimeToEmpty</t>
  </si>
  <si>
    <t>Autonomia stimata al carico attuale</t>
  </si>
  <si>
    <t>Stima dell'UPS, non una misura. Cambia con il carico</t>
  </si>
  <si>
    <t>UPS.Battery.RemainingTimeLimit</t>
  </si>
  <si>
    <t>Soglia di autonomia minima</t>
  </si>
  <si>
    <t>Sotto questo valore si accende RemainingTimeLimitExpired</t>
  </si>
  <si>
    <t>UPS.Battery.Temperature</t>
  </si>
  <si>
    <t>Temperatura interna (batteria)</t>
  </si>
  <si>
    <t>Espressa in kelvin: °C = K − 273,15. Ideale sotto i 30 °C</t>
  </si>
  <si>
    <t>UPS.Battery.ManufactureDate</t>
  </si>
  <si>
    <t>Data della batteria (formato HID)</t>
  </si>
  <si>
    <t>Non si aggiorna da sola quando si cambia la batteria</t>
  </si>
  <si>
    <t>UPS.Battery.0xFF86:0x0016</t>
  </si>
  <si>
    <t>Data di sostituzione batteria (formato APC)</t>
  </si>
  <si>
    <t>Esadecimale 04 03 08 = mese 04, giorno 03, anno 08. Coincide con la riga sopra</t>
  </si>
  <si>
    <t>UPS.Battery.Test</t>
  </si>
  <si>
    <t>Esito dell'ultimo autotest</t>
  </si>
  <si>
    <t>Scrivendo 1 si avvia un autotest rapido</t>
  </si>
  <si>
    <t>UPS.Battery.0xFF86:0x0018</t>
  </si>
  <si>
    <t>Dato interno APC della batteria</t>
  </si>
  <si>
    <t>Sconosciuto</t>
  </si>
  <si>
    <t>Non documentato nemmeno da NUT</t>
  </si>
  <si>
    <t>UPS.Battery.0xFF86:0x0019</t>
  </si>
  <si>
    <t>UPS.Battery.0xFF86:0x001A</t>
  </si>
  <si>
    <t>UPS.Battery.0xFF86:0x001B</t>
  </si>
  <si>
    <t>UPS.Battery.0xFF86:0x0024</t>
  </si>
  <si>
    <t>Costante interna APC</t>
  </si>
  <si>
    <t>Lo stesso usage compare in Input (126) e PowerConverter (150): forse costanti di taratura</t>
  </si>
  <si>
    <t>UPS.PowerSummary.Voltage</t>
  </si>
  <si>
    <t>Tensione batteria (copia)</t>
  </si>
  <si>
    <t>4 · Riepilogo (letto da Windows per l'icona batteria)</t>
  </si>
  <si>
    <t>UPS.PowerSummary.ConfigVoltage</t>
  </si>
  <si>
    <t>Tensione nominale batteria (copia)</t>
  </si>
  <si>
    <t>UPS.PowerSummary.RemainingCapacity</t>
  </si>
  <si>
    <t>Carica residua (copia)</t>
  </si>
  <si>
    <t>È il valore che Windows mostra nell'icona batteria</t>
  </si>
  <si>
    <t>UPS.PowerSummary.RunTimeToEmpty</t>
  </si>
  <si>
    <t>Autonomia stimata (copia)</t>
  </si>
  <si>
    <t>UPS.PowerSummary.RemainingTimeLimit</t>
  </si>
  <si>
    <t>Soglia di autonomia minima (copia)</t>
  </si>
  <si>
    <t>UPS.PowerSummary.RemainingCapacityLimit</t>
  </si>
  <si>
    <t>Soglia 'batteria bassa'</t>
  </si>
  <si>
    <t>Sotto il 10% si accende BelowRemainingCapacityLimit</t>
  </si>
  <si>
    <t>UPS.PowerSummary.WarningCapacityLimit</t>
  </si>
  <si>
    <t>Soglia di avviso</t>
  </si>
  <si>
    <t>UPS.PowerSummary.DesignCapacity</t>
  </si>
  <si>
    <t>Capacità di progetto</t>
  </si>
  <si>
    <t>UPS.PowerSummary.FullChargeCapacity</t>
  </si>
  <si>
    <t>Capacità a piena carica</t>
  </si>
  <si>
    <t>Su una batteria usurata potrebbe scendere sotto 100; APC però la lascia quasi sempre a 100</t>
  </si>
  <si>
    <t>UPS.PowerSummary.CapacityMode</t>
  </si>
  <si>
    <t>Unità delle capacità</t>
  </si>
  <si>
    <t>2 = valori in %</t>
  </si>
  <si>
    <t>UPS.PowerSummary.CapacityGranularity1</t>
  </si>
  <si>
    <t>Risoluzione della misura di carica</t>
  </si>
  <si>
    <t>UPS.PowerSummary.CapacityGranularity2</t>
  </si>
  <si>
    <t>UPS.PowerSummary.Rechargeable</t>
  </si>
  <si>
    <t>Batteria ricaricabile</t>
  </si>
  <si>
    <t>UPS.PowerSummary.iDeviceChemistry</t>
  </si>
  <si>
    <t>PbAc</t>
  </si>
  <si>
    <t>piombo-acido</t>
  </si>
  <si>
    <t>Chimica della batteria</t>
  </si>
  <si>
    <t>Batteria al piombo sigillata (AGM/VRLA)</t>
  </si>
  <si>
    <t>UPS.AudibleAlarmControl</t>
  </si>
  <si>
    <t>Cicalino di allarme</t>
  </si>
  <si>
    <t>5 · Allarme, comandi e ritardi</t>
  </si>
  <si>
    <t>Codifica standard HID: 1 disattivato, 2 attivo, 3 silenziato. Verificare alla prova di blackout se bippa</t>
  </si>
  <si>
    <t>UPS.PowerSummary.AudibleAlarmControl</t>
  </si>
  <si>
    <t>Cicalino di allarme (copia)</t>
  </si>
  <si>
    <t>UPS.Output.DelayBeforeShutdown</t>
  </si>
  <si>
    <t>Secondi prima che l'UPS tolga corrente alle uscite</t>
  </si>
  <si>
    <t>−1 = nessuno spegnimento programmato. Scrivendo un valore l'UPS si spegne dopo quel tempo</t>
  </si>
  <si>
    <t>UPS.Output.DelayBeforeStartup</t>
  </si>
  <si>
    <t>Ritardo di riaccensione delle uscite</t>
  </si>
  <si>
    <t>UPS.Output.DelayBeforeReboot</t>
  </si>
  <si>
    <t>Ritardo per lo spegni-e-riaccendi</t>
  </si>
  <si>
    <t>UPS.PowerSummary.DelayBeforeShutdown</t>
  </si>
  <si>
    <t>Ritardo di spegnimento (copia)</t>
  </si>
  <si>
    <t>UPS.PowerSummary.DelayBeforeReboot</t>
  </si>
  <si>
    <t>Ritardo spegni-e-riaccendi (copia)</t>
  </si>
  <si>
    <t>UPS.Output.0xFF86:0x007D</t>
  </si>
  <si>
    <t>Ritardo di spegnimento in versione APC</t>
  </si>
  <si>
    <t>NUT: APCDelayBeforeShutdown. −1 come la versione standard</t>
  </si>
  <si>
    <t>UPS.Output.0xFF86:0x007E</t>
  </si>
  <si>
    <t>Ritardo di riavvio in versione APC</t>
  </si>
  <si>
    <t>NUT: APCDelayBeforeStartup</t>
  </si>
  <si>
    <t>UPS.Output.0xFF86:0x007C</t>
  </si>
  <si>
    <t>Comando APC di riavvio/spegnimento forzato</t>
  </si>
  <si>
    <t>NUT lo associa ai comandi di spegnimento forzato</t>
  </si>
  <si>
    <t>UPS.Output.0xFF86:0x0076</t>
  </si>
  <si>
    <t>Comando APC 'spegni dopo il ritardo'</t>
  </si>
  <si>
    <t>NUT: APCShutdownAfterDelay</t>
  </si>
  <si>
    <t>UPS.0xFF86:0x0072</t>
  </si>
  <si>
    <t>Test del pannello (LED e cicalino)</t>
  </si>
  <si>
    <t>NUT: APCPanelTest. Scrivendo 1 l'UPS fa il test di spie e cicalino</t>
  </si>
  <si>
    <t>UPS.PresentStatus.ACPresent</t>
  </si>
  <si>
    <t>Rete elettrica presente</t>
  </si>
  <si>
    <t>6 · Indicatori di stato (1 = attivo)</t>
  </si>
  <si>
    <t>1 = alimentato dalla rete, 0 = a batteria (blackout)</t>
  </si>
  <si>
    <t>UPS.PresentStatus.BatteryPresent</t>
  </si>
  <si>
    <t>Batteria presente</t>
  </si>
  <si>
    <t>0 = batteria scollegata o guasta</t>
  </si>
  <si>
    <t>UPS.PresentStatus.BelowRemainingCapacityLimit</t>
  </si>
  <si>
    <t>Batteria bassa</t>
  </si>
  <si>
    <t>Carica scesa sotto RemainingCapacityLimit (10%)</t>
  </si>
  <si>
    <t>UPS.PresentStatus.Charging</t>
  </si>
  <si>
    <t>Batteria in carica</t>
  </si>
  <si>
    <t>Resta a 0 quando la batteria è già piena</t>
  </si>
  <si>
    <t>UPS.PresentStatus.CommunicationLost</t>
  </si>
  <si>
    <t>Comunicazione persa</t>
  </si>
  <si>
    <t>Problema di comunicazione interna dell'UPS</t>
  </si>
  <si>
    <t>UPS.PresentStatus.Discharging</t>
  </si>
  <si>
    <t>Batteria in scarica</t>
  </si>
  <si>
    <t>1 = l'UPS sta alimentando i carichi a batteria</t>
  </si>
  <si>
    <t>UPS.PresentStatus.NeedReplacement</t>
  </si>
  <si>
    <t>Sostituire la batteria</t>
  </si>
  <si>
    <t>Lo imposta l'UPS dopo un autotest fallito</t>
  </si>
  <si>
    <t>UPS.PresentStatus.Overload</t>
  </si>
  <si>
    <t>Sovraccarico</t>
  </si>
  <si>
    <t>Carico oltre i 400 W nominali: staccare qualcosa</t>
  </si>
  <si>
    <t>UPS.PresentStatus.RemainingTimeLimitExpired</t>
  </si>
  <si>
    <t>Autonomia esaurita</t>
  </si>
  <si>
    <t>Autonomia stimata sotto RemainingTimeLimit (120 s)</t>
  </si>
  <si>
    <t>UPS.PresentStatus.ShutdownImminent</t>
  </si>
  <si>
    <t>Spegnimento imminente</t>
  </si>
  <si>
    <t>L'UPS sta per togliere corrente alle uscite</t>
  </si>
  <si>
    <t>UPS.PresentStatus.ShutdownRequested</t>
  </si>
  <si>
    <t>Spegnimento richiesto</t>
  </si>
  <si>
    <t>È stato inviato un comando di spegnimento all'UPS</t>
  </si>
  <si>
    <t>UPS.PresentStatus.VoltageNotRegulated</t>
  </si>
  <si>
    <t>Tensione non regolata</t>
  </si>
  <si>
    <t>Uscita fuori tolleranza</t>
  </si>
  <si>
    <t>UPS.PresentStatus.0xFF86:0x0080</t>
  </si>
  <si>
    <t>Indicatore di stato aggiuntivo APC</t>
  </si>
  <si>
    <t>Bit di stato non documentato</t>
  </si>
  <si>
    <t>UPS.PowerSummary.PresentStatus.ACPresent</t>
  </si>
  <si>
    <t>Rete elettrica presente (copia)</t>
  </si>
  <si>
    <t>Copia nel riepilogo usato da Windows</t>
  </si>
  <si>
    <t>UPS.PowerSummary.PresentStatus.BatteryPresent</t>
  </si>
  <si>
    <t>Batteria presente (copia)</t>
  </si>
  <si>
    <t>UPS.PowerSummary.PresentStatus.BelowRemainingCapacityLimit</t>
  </si>
  <si>
    <t>Batteria bassa (copia)</t>
  </si>
  <si>
    <t>UPS.PowerSummary.PresentStatus.Charging</t>
  </si>
  <si>
    <t>Batteria in carica (copia)</t>
  </si>
  <si>
    <t>UPS.PowerSummary.PresentStatus.CommunicationLost</t>
  </si>
  <si>
    <t>Comunicazione persa (copia)</t>
  </si>
  <si>
    <t>UPS.PowerSummary.PresentStatus.Discharging</t>
  </si>
  <si>
    <t>Batteria in scarica (copia)</t>
  </si>
  <si>
    <t>UPS.PowerSummary.PresentStatus.NeedReplacement</t>
  </si>
  <si>
    <t>Sostituire la batteria (copia)</t>
  </si>
  <si>
    <t>UPS.PowerSummary.PresentStatus.Overload</t>
  </si>
  <si>
    <t>Sovraccarico (copia)</t>
  </si>
  <si>
    <t>UPS.PowerSummary.PresentStatus.RemainingTimeLimitExpired</t>
  </si>
  <si>
    <t>Autonomia esaurita (copia)</t>
  </si>
  <si>
    <t>UPS.PowerSummary.PresentStatus.ShutdownImminent</t>
  </si>
  <si>
    <t>Spegnimento imminente (copia)</t>
  </si>
  <si>
    <t>UPS.PowerSummary.PresentStatus.ShutdownRequested</t>
  </si>
  <si>
    <t>Spegnimento richiesto (copia)</t>
  </si>
  <si>
    <t>UPS.PowerSummary.PresentStatus.VoltageNotRegulated</t>
  </si>
  <si>
    <t>Tensione non regolata (copia)</t>
  </si>
  <si>
    <t>UPS.PowerSummary.PresentStatus.0xFF86:0x0080</t>
  </si>
  <si>
    <t>Indicatore di stato aggiuntivo APC (copia)</t>
  </si>
  <si>
    <t>UPS.0xFF86:0x0001.0xFF86:0x0023</t>
  </si>
  <si>
    <t>Collezione generale APC: campo interno</t>
  </si>
  <si>
    <t>7 · Interni APC non documentati</t>
  </si>
  <si>
    <t>UPS.0xFF86:0x0001.0xFF86:0x0025</t>
  </si>
  <si>
    <t>03020100 = byte 00 01 02 03: sembra un valore di riempimento o di servizio</t>
  </si>
  <si>
    <t>UPS.0xFF86:0x0001.0xFF86:0x0026</t>
  </si>
  <si>
    <t>UPS.0xFF86:0x0027</t>
  </si>
  <si>
    <t>Campo interno APC</t>
  </si>
  <si>
    <t>UPS.0xFF86:0x0028</t>
  </si>
  <si>
    <t>UPS.0xFF86:0x0042</t>
  </si>
  <si>
    <t>In NUT compare tra gli usage visti ma non decodificati</t>
  </si>
  <si>
    <t>UPS.Input.0xFF86:0x0024</t>
  </si>
  <si>
    <t>Vedi Battery.0xFF86:0x0024</t>
  </si>
  <si>
    <t>UPS.PowerConverter.0xFF86:0x0024</t>
  </si>
  <si>
    <t>Come leggere i codici</t>
  </si>
  <si>
    <t>Struttura</t>
  </si>
  <si>
    <t>UPS.Collezione.Usage: es. UPS.Battery.Voltage = tensione (Voltage) dentro la sezione Batteria (Battery) dell'UPS</t>
  </si>
  <si>
    <t>Codici definiti dallo standard USB 'HID Power Device' (pagine 0x84 e 0x85): significato documentato, uguale per tutti gli UPS</t>
  </si>
  <si>
    <t>0xFF86:0x....</t>
  </si>
  <si>
    <t>Codici proprietari APC (pagina 0xFF86). APC non li ha mai pubblicati: i significati vengono dal reverse engineering del progetto open source NUT (Network UPS Tools) e dal confronto con i valori del tuo UPS</t>
  </si>
  <si>
    <t>Copie</t>
  </si>
  <si>
    <t>Molti valori compaiono due volte: in UPS.Battery / UPS.PresentStatus e in UPS.PowerSummary. PowerSummary è il riepilogo che Windows legge per l'icona della batteria</t>
  </si>
  <si>
    <t>Significato documentato dallo standard o confermato dai valori (es. la data APC coincide con quella HID)</t>
  </si>
  <si>
    <t>Nome e funzione da NUT, coerenti con il valore letto, ma senza documentazione ufficiale APC</t>
  </si>
  <si>
    <t>Campo interno non documentato da nessuno. Non serve per il monitoraggio</t>
  </si>
  <si>
    <t>Colori</t>
  </si>
  <si>
    <t>Testo blu = valore letto dall'UPS · testo nero = formula di conversione</t>
  </si>
  <si>
    <t>Unità</t>
  </si>
  <si>
    <t>Le tensioni sono già in volt. La temperatura arriva in kelvin (convertita in °C). Le date usano due formati diversi (vedi note)</t>
  </si>
  <si>
    <t>Fonte</t>
  </si>
  <si>
    <t>Network UPS Tools, driver usbhid-ups, file drivers/apc-hid.c: https://github.com/networkupstools/nut/blob/master/drivers/apc-hid.c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</si>
</sst>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name val="Consolas"/>
    </font>
    <font>
      <sz val="10"/>
      <name val="Arial"/>
    </font>
    <font>
      <b/>
      <sz val="10"/>
      <name val="Arial"/>
    </font>
    <font>
      <b/>
      <sz val="12"/>
      <color rgb="FF1F3A68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D9F2E3"/>
      </patternFill>
    </fill>
    <fill>
      <patternFill patternType="solid">
        <fgColor rgb="FFFFF1CC"/>
      </patternFill>
    </fill>
    <fill>
      <patternFill patternType="solid">
        <fgColor rgb="FFE7E9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e" xfId="0" builtinId="0"/>
  </cellStyles>
  <dxfs count="3">
    <dxf>
      <fill>
        <patternFill patternType="solid">
          <fgColor rgb="FFE7E9EE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9F2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" width="26" customWidth="1"/>
    <col min="4" max="4" width="46" customWidth="1"/>
    <col min="5" max="5" width="30" customWidth="1"/>
    <col min="6" max="6" width="17" customWidth="1"/>
    <col min="7" max="7" width="13" customWidth="1"/>
    <col min="8" max="8" width="60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/>
      <c r="D2" s="5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2" t="s">
        <v>14</v>
      </c>
      <c r="B3" s="3" t="s">
        <v>15</v>
      </c>
      <c r="C3" s="4"/>
      <c r="D3" s="5" t="s">
        <v>16</v>
      </c>
      <c r="E3" s="4" t="s">
        <v>11</v>
      </c>
      <c r="F3" s="4" t="s">
        <v>12</v>
      </c>
      <c r="G3" s="4" t="s">
        <v>13</v>
      </c>
      <c r="H3" s="5"/>
    </row>
    <row r="4" spans="1:8" x14ac:dyDescent="0.25">
      <c r="A4" s="2" t="s">
        <v>17</v>
      </c>
      <c r="B4" s="3" t="s">
        <v>18</v>
      </c>
      <c r="C4" s="4"/>
      <c r="D4" s="5" t="s">
        <v>19</v>
      </c>
      <c r="E4" s="4" t="s">
        <v>11</v>
      </c>
      <c r="F4" s="4" t="s">
        <v>12</v>
      </c>
      <c r="G4" s="4" t="s">
        <v>13</v>
      </c>
      <c r="H4" s="5"/>
    </row>
    <row r="5" spans="1:8" ht="25.5" x14ac:dyDescent="0.25">
      <c r="A5" s="2" t="s">
        <v>20</v>
      </c>
      <c r="B5" s="3" t="s">
        <v>21</v>
      </c>
      <c r="C5" s="4"/>
      <c r="D5" s="5" t="s">
        <v>22</v>
      </c>
      <c r="E5" s="4" t="s">
        <v>11</v>
      </c>
      <c r="F5" s="4" t="s">
        <v>12</v>
      </c>
      <c r="G5" s="4" t="s">
        <v>13</v>
      </c>
      <c r="H5" s="5" t="s">
        <v>23</v>
      </c>
    </row>
    <row r="6" spans="1:8" x14ac:dyDescent="0.25">
      <c r="A6" s="2" t="s">
        <v>24</v>
      </c>
      <c r="B6" s="3">
        <v>12906</v>
      </c>
      <c r="C6" s="6">
        <f>DATE(1980+INT(B6/512),MOD(INT(B6/32),16),MOD(B6,32))</f>
        <v>38421</v>
      </c>
      <c r="D6" s="5" t="s">
        <v>25</v>
      </c>
      <c r="E6" s="4" t="s">
        <v>11</v>
      </c>
      <c r="F6" s="4" t="s">
        <v>12</v>
      </c>
      <c r="G6" s="4" t="s">
        <v>13</v>
      </c>
      <c r="H6" s="5" t="s">
        <v>26</v>
      </c>
    </row>
    <row r="7" spans="1:8" x14ac:dyDescent="0.25">
      <c r="A7" s="2" t="s">
        <v>27</v>
      </c>
      <c r="B7" s="3" t="s">
        <v>28</v>
      </c>
      <c r="C7" s="4"/>
      <c r="D7" s="5" t="s">
        <v>29</v>
      </c>
      <c r="E7" s="4" t="s">
        <v>11</v>
      </c>
      <c r="F7" s="4" t="s">
        <v>12</v>
      </c>
      <c r="G7" s="4" t="s">
        <v>13</v>
      </c>
      <c r="H7" s="5" t="s">
        <v>30</v>
      </c>
    </row>
    <row r="8" spans="1:8" x14ac:dyDescent="0.25">
      <c r="A8" s="2" t="s">
        <v>31</v>
      </c>
      <c r="B8" s="3" t="s">
        <v>9</v>
      </c>
      <c r="C8" s="4"/>
      <c r="D8" s="5" t="s">
        <v>32</v>
      </c>
      <c r="E8" s="4" t="s">
        <v>11</v>
      </c>
      <c r="F8" s="4" t="s">
        <v>12</v>
      </c>
      <c r="G8" s="4" t="s">
        <v>13</v>
      </c>
      <c r="H8" s="5"/>
    </row>
    <row r="9" spans="1:8" x14ac:dyDescent="0.25">
      <c r="A9" s="2" t="s">
        <v>33</v>
      </c>
      <c r="B9" s="3" t="s">
        <v>9</v>
      </c>
      <c r="C9" s="4"/>
      <c r="D9" s="5" t="s">
        <v>34</v>
      </c>
      <c r="E9" s="4" t="s">
        <v>11</v>
      </c>
      <c r="F9" s="4" t="s">
        <v>12</v>
      </c>
      <c r="G9" s="4" t="s">
        <v>13</v>
      </c>
      <c r="H9" s="5"/>
    </row>
    <row r="10" spans="1:8" x14ac:dyDescent="0.25">
      <c r="A10" s="2" t="s">
        <v>35</v>
      </c>
      <c r="B10" s="3" t="s">
        <v>21</v>
      </c>
      <c r="C10" s="4"/>
      <c r="D10" s="5" t="s">
        <v>36</v>
      </c>
      <c r="E10" s="4" t="s">
        <v>11</v>
      </c>
      <c r="F10" s="4" t="s">
        <v>12</v>
      </c>
      <c r="G10" s="4" t="s">
        <v>13</v>
      </c>
      <c r="H10" s="5"/>
    </row>
    <row r="11" spans="1:8" x14ac:dyDescent="0.25">
      <c r="A11" s="2" t="s">
        <v>37</v>
      </c>
      <c r="B11" s="3">
        <v>12906</v>
      </c>
      <c r="C11" s="6">
        <f>DATE(1980+INT(B11/512),MOD(INT(B11/32),16),MOD(B11,32))</f>
        <v>38421</v>
      </c>
      <c r="D11" s="5" t="s">
        <v>38</v>
      </c>
      <c r="E11" s="4" t="s">
        <v>11</v>
      </c>
      <c r="F11" s="4" t="s">
        <v>12</v>
      </c>
      <c r="G11" s="4" t="s">
        <v>13</v>
      </c>
      <c r="H11" s="5"/>
    </row>
    <row r="12" spans="1:8" ht="25.5" x14ac:dyDescent="0.25">
      <c r="A12" s="2" t="s">
        <v>39</v>
      </c>
      <c r="B12" s="3">
        <v>8</v>
      </c>
      <c r="C12" s="4"/>
      <c r="D12" s="5" t="s">
        <v>40</v>
      </c>
      <c r="E12" s="4" t="s">
        <v>11</v>
      </c>
      <c r="F12" s="4" t="s">
        <v>41</v>
      </c>
      <c r="G12" s="4" t="s">
        <v>42</v>
      </c>
      <c r="H12" s="5" t="s">
        <v>43</v>
      </c>
    </row>
    <row r="13" spans="1:8" x14ac:dyDescent="0.25">
      <c r="A13" s="2" t="s">
        <v>44</v>
      </c>
      <c r="B13" s="3">
        <v>244</v>
      </c>
      <c r="C13" s="4" t="str">
        <f>B13&amp;" V"</f>
        <v>244 V</v>
      </c>
      <c r="D13" s="5" t="s">
        <v>45</v>
      </c>
      <c r="E13" s="4" t="s">
        <v>46</v>
      </c>
      <c r="F13" s="4" t="s">
        <v>12</v>
      </c>
      <c r="G13" s="4" t="s">
        <v>13</v>
      </c>
      <c r="H13" s="5" t="s">
        <v>47</v>
      </c>
    </row>
    <row r="14" spans="1:8" x14ac:dyDescent="0.25">
      <c r="A14" s="2" t="s">
        <v>48</v>
      </c>
      <c r="B14" s="3">
        <v>230</v>
      </c>
      <c r="C14" s="4" t="str">
        <f>B14&amp;" V"</f>
        <v>230 V</v>
      </c>
      <c r="D14" s="5" t="s">
        <v>49</v>
      </c>
      <c r="E14" s="4" t="s">
        <v>46</v>
      </c>
      <c r="F14" s="4" t="s">
        <v>12</v>
      </c>
      <c r="G14" s="4" t="s">
        <v>13</v>
      </c>
      <c r="H14" s="5"/>
    </row>
    <row r="15" spans="1:8" x14ac:dyDescent="0.25">
      <c r="A15" s="2" t="s">
        <v>50</v>
      </c>
      <c r="B15" s="3">
        <v>230</v>
      </c>
      <c r="C15" s="4" t="str">
        <f>B15&amp;" V"</f>
        <v>230 V</v>
      </c>
      <c r="D15" s="5" t="s">
        <v>51</v>
      </c>
      <c r="E15" s="4" t="s">
        <v>46</v>
      </c>
      <c r="F15" s="4" t="s">
        <v>12</v>
      </c>
      <c r="G15" s="4" t="s">
        <v>13</v>
      </c>
      <c r="H15" s="5" t="s">
        <v>52</v>
      </c>
    </row>
    <row r="16" spans="1:8" x14ac:dyDescent="0.25">
      <c r="A16" s="2" t="s">
        <v>53</v>
      </c>
      <c r="B16" s="3">
        <v>230</v>
      </c>
      <c r="C16" s="4" t="str">
        <f>B16&amp;" V"</f>
        <v>230 V</v>
      </c>
      <c r="D16" s="5" t="s">
        <v>54</v>
      </c>
      <c r="E16" s="4" t="s">
        <v>46</v>
      </c>
      <c r="F16" s="4" t="s">
        <v>12</v>
      </c>
      <c r="G16" s="4" t="s">
        <v>13</v>
      </c>
      <c r="H16" s="5"/>
    </row>
    <row r="17" spans="1:8" x14ac:dyDescent="0.25">
      <c r="A17" s="2" t="s">
        <v>55</v>
      </c>
      <c r="B17" s="3">
        <v>50</v>
      </c>
      <c r="C17" s="4" t="str">
        <f>B17&amp;" Hz"</f>
        <v>50 Hz</v>
      </c>
      <c r="D17" s="5" t="s">
        <v>56</v>
      </c>
      <c r="E17" s="4" t="s">
        <v>46</v>
      </c>
      <c r="F17" s="4" t="s">
        <v>12</v>
      </c>
      <c r="G17" s="4" t="s">
        <v>13</v>
      </c>
      <c r="H17" s="5"/>
    </row>
    <row r="18" spans="1:8" x14ac:dyDescent="0.25">
      <c r="A18" s="2" t="s">
        <v>57</v>
      </c>
      <c r="B18" s="3">
        <v>42</v>
      </c>
      <c r="C18" s="4" t="str">
        <f>B18&amp;" %"</f>
        <v>42 %</v>
      </c>
      <c r="D18" s="5" t="s">
        <v>58</v>
      </c>
      <c r="E18" s="4" t="s">
        <v>46</v>
      </c>
      <c r="F18" s="4" t="s">
        <v>12</v>
      </c>
      <c r="G18" s="4" t="s">
        <v>13</v>
      </c>
      <c r="H18" s="5"/>
    </row>
    <row r="19" spans="1:8" x14ac:dyDescent="0.25">
      <c r="A19" s="2" t="s">
        <v>59</v>
      </c>
      <c r="B19" s="3">
        <v>400</v>
      </c>
      <c r="C19" s="4" t="str">
        <f>B19&amp;" W"</f>
        <v>400 W</v>
      </c>
      <c r="D19" s="5" t="s">
        <v>60</v>
      </c>
      <c r="E19" s="4" t="s">
        <v>46</v>
      </c>
      <c r="F19" s="4" t="s">
        <v>12</v>
      </c>
      <c r="G19" s="4" t="s">
        <v>13</v>
      </c>
      <c r="H19" s="5" t="s">
        <v>61</v>
      </c>
    </row>
    <row r="20" spans="1:8" x14ac:dyDescent="0.25">
      <c r="A20" s="2" t="s">
        <v>62</v>
      </c>
      <c r="B20" s="7">
        <f>B18*B19/100</f>
        <v>168</v>
      </c>
      <c r="C20" s="4" t="str">
        <f>ROUND(B20,0)&amp;" W"</f>
        <v>168 W</v>
      </c>
      <c r="D20" s="5" t="s">
        <v>63</v>
      </c>
      <c r="E20" s="4" t="s">
        <v>46</v>
      </c>
      <c r="F20" s="4" t="s">
        <v>64</v>
      </c>
      <c r="G20" s="4" t="s">
        <v>13</v>
      </c>
      <c r="H20" s="5" t="s">
        <v>65</v>
      </c>
    </row>
    <row r="21" spans="1:8" ht="25.5" x14ac:dyDescent="0.25">
      <c r="A21" s="2" t="s">
        <v>66</v>
      </c>
      <c r="B21" s="3">
        <v>180</v>
      </c>
      <c r="C21" s="4" t="str">
        <f>B21&amp;" V"</f>
        <v>180 V</v>
      </c>
      <c r="D21" s="5" t="s">
        <v>67</v>
      </c>
      <c r="E21" s="4" t="s">
        <v>46</v>
      </c>
      <c r="F21" s="4" t="s">
        <v>12</v>
      </c>
      <c r="G21" s="4" t="s">
        <v>13</v>
      </c>
      <c r="H21" s="5" t="s">
        <v>68</v>
      </c>
    </row>
    <row r="22" spans="1:8" ht="25.5" x14ac:dyDescent="0.25">
      <c r="A22" s="2" t="s">
        <v>69</v>
      </c>
      <c r="B22" s="3">
        <v>264</v>
      </c>
      <c r="C22" s="4" t="str">
        <f>B22&amp;" V"</f>
        <v>264 V</v>
      </c>
      <c r="D22" s="5" t="s">
        <v>70</v>
      </c>
      <c r="E22" s="4" t="s">
        <v>46</v>
      </c>
      <c r="F22" s="4" t="s">
        <v>12</v>
      </c>
      <c r="G22" s="4" t="s">
        <v>13</v>
      </c>
      <c r="H22" s="5" t="s">
        <v>71</v>
      </c>
    </row>
    <row r="23" spans="1:8" x14ac:dyDescent="0.25">
      <c r="A23" s="2" t="s">
        <v>72</v>
      </c>
      <c r="B23" s="3">
        <v>1</v>
      </c>
      <c r="C23" s="4" t="str">
        <f>IF(AND(B23&gt;=0,B23&lt;=2),CHOOSE(B23+1,"Alta","Media","Bassa"),"?")</f>
        <v>Media</v>
      </c>
      <c r="D23" s="5" t="s">
        <v>73</v>
      </c>
      <c r="E23" s="4" t="s">
        <v>46</v>
      </c>
      <c r="F23" s="4" t="s">
        <v>41</v>
      </c>
      <c r="G23" s="4" t="s">
        <v>42</v>
      </c>
      <c r="H23" s="5" t="s">
        <v>74</v>
      </c>
    </row>
    <row r="24" spans="1:8" x14ac:dyDescent="0.25">
      <c r="A24" s="2" t="s">
        <v>75</v>
      </c>
      <c r="B24" s="3">
        <v>8</v>
      </c>
      <c r="C24" s="4" t="str">
        <f>IF(AND(B24&gt;=0,B24&lt;=9),CHOOSE(B24+1,"Nessun trasferimento dall'accensione","Tensione di rete alta","Calo di tensione (brownout)","Mancanza di rete","Piccolo abbassamento temporaneo","Grosso abbassamento temporaneo","Piccolo picco","Grosso picco","Autotest dell'UPS","Fluttuazione eccessiva"),"?")</f>
        <v>Autotest dell'UPS</v>
      </c>
      <c r="D24" s="5" t="s">
        <v>76</v>
      </c>
      <c r="E24" s="4" t="s">
        <v>46</v>
      </c>
      <c r="F24" s="4" t="s">
        <v>41</v>
      </c>
      <c r="G24" s="4" t="s">
        <v>42</v>
      </c>
      <c r="H24" s="5" t="s">
        <v>77</v>
      </c>
    </row>
    <row r="25" spans="1:8" ht="25.5" x14ac:dyDescent="0.25">
      <c r="A25" s="2" t="s">
        <v>78</v>
      </c>
      <c r="B25" s="3">
        <v>13.59</v>
      </c>
      <c r="C25" s="4" t="str">
        <f>FIXED(B25,2)&amp;" V"</f>
        <v>13,59 V</v>
      </c>
      <c r="D25" s="5" t="s">
        <v>79</v>
      </c>
      <c r="E25" s="4" t="s">
        <v>80</v>
      </c>
      <c r="F25" s="4" t="s">
        <v>12</v>
      </c>
      <c r="G25" s="4" t="s">
        <v>13</v>
      </c>
      <c r="H25" s="5" t="s">
        <v>81</v>
      </c>
    </row>
    <row r="26" spans="1:8" x14ac:dyDescent="0.25">
      <c r="A26" s="2" t="s">
        <v>82</v>
      </c>
      <c r="B26" s="3">
        <v>12</v>
      </c>
      <c r="C26" s="4" t="str">
        <f>B26&amp;" V"</f>
        <v>12 V</v>
      </c>
      <c r="D26" s="5" t="s">
        <v>83</v>
      </c>
      <c r="E26" s="4" t="s">
        <v>80</v>
      </c>
      <c r="F26" s="4" t="s">
        <v>12</v>
      </c>
      <c r="G26" s="4" t="s">
        <v>13</v>
      </c>
      <c r="H26" s="5"/>
    </row>
    <row r="27" spans="1:8" x14ac:dyDescent="0.25">
      <c r="A27" s="2" t="s">
        <v>84</v>
      </c>
      <c r="B27" s="3">
        <v>100</v>
      </c>
      <c r="C27" s="4" t="str">
        <f>B27&amp;" %"</f>
        <v>100 %</v>
      </c>
      <c r="D27" s="5" t="s">
        <v>85</v>
      </c>
      <c r="E27" s="4" t="s">
        <v>80</v>
      </c>
      <c r="F27" s="4" t="s">
        <v>12</v>
      </c>
      <c r="G27" s="4" t="s">
        <v>13</v>
      </c>
      <c r="H27" s="5"/>
    </row>
    <row r="28" spans="1:8" x14ac:dyDescent="0.25">
      <c r="A28" s="2" t="s">
        <v>86</v>
      </c>
      <c r="B28" s="3">
        <v>727</v>
      </c>
      <c r="C28" s="4" t="str">
        <f>INT(B28/60)&amp;" min "&amp;MOD(B28,60)&amp;" s"</f>
        <v>12 min 7 s</v>
      </c>
      <c r="D28" s="5" t="s">
        <v>87</v>
      </c>
      <c r="E28" s="4" t="s">
        <v>80</v>
      </c>
      <c r="F28" s="4" t="s">
        <v>12</v>
      </c>
      <c r="G28" s="4" t="s">
        <v>13</v>
      </c>
      <c r="H28" s="5" t="s">
        <v>88</v>
      </c>
    </row>
    <row r="29" spans="1:8" x14ac:dyDescent="0.25">
      <c r="A29" s="2" t="s">
        <v>89</v>
      </c>
      <c r="B29" s="3">
        <v>120</v>
      </c>
      <c r="C29" s="4" t="str">
        <f>B29/60&amp;" min"</f>
        <v>2 min</v>
      </c>
      <c r="D29" s="5" t="s">
        <v>90</v>
      </c>
      <c r="E29" s="4" t="s">
        <v>80</v>
      </c>
      <c r="F29" s="4" t="s">
        <v>12</v>
      </c>
      <c r="G29" s="4" t="s">
        <v>13</v>
      </c>
      <c r="H29" s="5" t="s">
        <v>91</v>
      </c>
    </row>
    <row r="30" spans="1:8" x14ac:dyDescent="0.25">
      <c r="A30" s="2" t="s">
        <v>92</v>
      </c>
      <c r="B30" s="3">
        <v>302.3</v>
      </c>
      <c r="C30" s="4" t="str">
        <f>FIXED(B30-273.15,1)&amp;" °C"</f>
        <v>29,2 °C</v>
      </c>
      <c r="D30" s="5" t="s">
        <v>93</v>
      </c>
      <c r="E30" s="4" t="s">
        <v>80</v>
      </c>
      <c r="F30" s="4" t="s">
        <v>12</v>
      </c>
      <c r="G30" s="4" t="s">
        <v>13</v>
      </c>
      <c r="H30" s="5" t="s">
        <v>94</v>
      </c>
    </row>
    <row r="31" spans="1:8" x14ac:dyDescent="0.25">
      <c r="A31" s="2" t="s">
        <v>95</v>
      </c>
      <c r="B31" s="3">
        <v>14467</v>
      </c>
      <c r="C31" s="6">
        <f>DATE(1980+INT(B31/512),MOD(INT(B31/32),16),MOD(B31,32))</f>
        <v>39541</v>
      </c>
      <c r="D31" s="5" t="s">
        <v>96</v>
      </c>
      <c r="E31" s="4" t="s">
        <v>80</v>
      </c>
      <c r="F31" s="4" t="s">
        <v>12</v>
      </c>
      <c r="G31" s="4" t="s">
        <v>13</v>
      </c>
      <c r="H31" s="5" t="s">
        <v>97</v>
      </c>
    </row>
    <row r="32" spans="1:8" ht="25.5" x14ac:dyDescent="0.25">
      <c r="A32" s="2" t="s">
        <v>98</v>
      </c>
      <c r="B32" s="3">
        <v>262920</v>
      </c>
      <c r="C32" s="6">
        <f>DATE(2000+VALUE(DEC2HEX(MOD(B32,256))),VALUE(DEC2HEX(INT(B32/65536))),VALUE(DEC2HEX(MOD(INT(B32/256),256))))</f>
        <v>39541</v>
      </c>
      <c r="D32" s="5" t="s">
        <v>99</v>
      </c>
      <c r="E32" s="4" t="s">
        <v>80</v>
      </c>
      <c r="F32" s="4" t="s">
        <v>41</v>
      </c>
      <c r="G32" s="4" t="s">
        <v>13</v>
      </c>
      <c r="H32" s="5" t="s">
        <v>100</v>
      </c>
    </row>
    <row r="33" spans="1:8" x14ac:dyDescent="0.25">
      <c r="A33" s="2" t="s">
        <v>101</v>
      </c>
      <c r="B33" s="3">
        <v>6</v>
      </c>
      <c r="C33" s="4" t="str">
        <f>IF(AND(B33&gt;=1,B33&lt;=6),CHOOSE(B33,"Superato","Avviso","Errore","Interrotto","In corso","Nessun test eseguito"),"?")</f>
        <v>Nessun test eseguito</v>
      </c>
      <c r="D33" s="5" t="s">
        <v>102</v>
      </c>
      <c r="E33" s="4" t="s">
        <v>80</v>
      </c>
      <c r="F33" s="4" t="s">
        <v>12</v>
      </c>
      <c r="G33" s="4" t="s">
        <v>13</v>
      </c>
      <c r="H33" s="5" t="s">
        <v>103</v>
      </c>
    </row>
    <row r="34" spans="1:8" x14ac:dyDescent="0.25">
      <c r="A34" s="2" t="s">
        <v>104</v>
      </c>
      <c r="B34" s="3">
        <v>2114885126</v>
      </c>
      <c r="C34" s="4" t="str">
        <f>"esadecimale "&amp;DEC2HEX(B34)</f>
        <v>esadecimale 7E0E9606</v>
      </c>
      <c r="D34" s="5" t="s">
        <v>105</v>
      </c>
      <c r="E34" s="4" t="s">
        <v>80</v>
      </c>
      <c r="F34" s="4" t="s">
        <v>41</v>
      </c>
      <c r="G34" s="4" t="s">
        <v>106</v>
      </c>
      <c r="H34" s="5" t="s">
        <v>107</v>
      </c>
    </row>
    <row r="35" spans="1:8" x14ac:dyDescent="0.25">
      <c r="A35" s="2" t="s">
        <v>108</v>
      </c>
      <c r="B35" s="3">
        <v>0</v>
      </c>
      <c r="C35" s="4"/>
      <c r="D35" s="5" t="s">
        <v>105</v>
      </c>
      <c r="E35" s="4" t="s">
        <v>80</v>
      </c>
      <c r="F35" s="4" t="s">
        <v>41</v>
      </c>
      <c r="G35" s="4" t="s">
        <v>106</v>
      </c>
      <c r="H35" s="5"/>
    </row>
    <row r="36" spans="1:8" x14ac:dyDescent="0.25">
      <c r="A36" s="2" t="s">
        <v>109</v>
      </c>
      <c r="B36" s="3">
        <v>0</v>
      </c>
      <c r="C36" s="4"/>
      <c r="D36" s="5" t="s">
        <v>105</v>
      </c>
      <c r="E36" s="4" t="s">
        <v>80</v>
      </c>
      <c r="F36" s="4" t="s">
        <v>41</v>
      </c>
      <c r="G36" s="4" t="s">
        <v>106</v>
      </c>
      <c r="H36" s="5"/>
    </row>
    <row r="37" spans="1:8" x14ac:dyDescent="0.25">
      <c r="A37" s="2" t="s">
        <v>110</v>
      </c>
      <c r="B37" s="3">
        <v>0</v>
      </c>
      <c r="C37" s="4"/>
      <c r="D37" s="5" t="s">
        <v>105</v>
      </c>
      <c r="E37" s="4" t="s">
        <v>80</v>
      </c>
      <c r="F37" s="4" t="s">
        <v>41</v>
      </c>
      <c r="G37" s="4" t="s">
        <v>106</v>
      </c>
      <c r="H37" s="5"/>
    </row>
    <row r="38" spans="1:8" ht="25.5" x14ac:dyDescent="0.25">
      <c r="A38" s="2" t="s">
        <v>111</v>
      </c>
      <c r="B38" s="3">
        <v>243</v>
      </c>
      <c r="C38" s="4"/>
      <c r="D38" s="5" t="s">
        <v>112</v>
      </c>
      <c r="E38" s="4" t="s">
        <v>80</v>
      </c>
      <c r="F38" s="4" t="s">
        <v>41</v>
      </c>
      <c r="G38" s="4" t="s">
        <v>106</v>
      </c>
      <c r="H38" s="5" t="s">
        <v>113</v>
      </c>
    </row>
    <row r="39" spans="1:8" x14ac:dyDescent="0.25">
      <c r="A39" s="2" t="s">
        <v>114</v>
      </c>
      <c r="B39" s="3">
        <v>13.59</v>
      </c>
      <c r="C39" s="4" t="str">
        <f>FIXED(B39,2)&amp;" V"</f>
        <v>13,59 V</v>
      </c>
      <c r="D39" s="5" t="s">
        <v>115</v>
      </c>
      <c r="E39" s="4" t="s">
        <v>116</v>
      </c>
      <c r="F39" s="4" t="s">
        <v>12</v>
      </c>
      <c r="G39" s="4" t="s">
        <v>13</v>
      </c>
      <c r="H39" s="5"/>
    </row>
    <row r="40" spans="1:8" x14ac:dyDescent="0.25">
      <c r="A40" s="2" t="s">
        <v>117</v>
      </c>
      <c r="B40" s="3">
        <v>12</v>
      </c>
      <c r="C40" s="4" t="str">
        <f>B40&amp;" V"</f>
        <v>12 V</v>
      </c>
      <c r="D40" s="5" t="s">
        <v>118</v>
      </c>
      <c r="E40" s="4" t="s">
        <v>116</v>
      </c>
      <c r="F40" s="4" t="s">
        <v>12</v>
      </c>
      <c r="G40" s="4" t="s">
        <v>13</v>
      </c>
      <c r="H40" s="5"/>
    </row>
    <row r="41" spans="1:8" x14ac:dyDescent="0.25">
      <c r="A41" s="2" t="s">
        <v>119</v>
      </c>
      <c r="B41" s="3">
        <v>100</v>
      </c>
      <c r="C41" s="4" t="str">
        <f>B41&amp;" %"</f>
        <v>100 %</v>
      </c>
      <c r="D41" s="5" t="s">
        <v>120</v>
      </c>
      <c r="E41" s="4" t="s">
        <v>116</v>
      </c>
      <c r="F41" s="4" t="s">
        <v>12</v>
      </c>
      <c r="G41" s="4" t="s">
        <v>13</v>
      </c>
      <c r="H41" s="5" t="s">
        <v>121</v>
      </c>
    </row>
    <row r="42" spans="1:8" x14ac:dyDescent="0.25">
      <c r="A42" s="2" t="s">
        <v>122</v>
      </c>
      <c r="B42" s="3">
        <v>727</v>
      </c>
      <c r="C42" s="4" t="str">
        <f>INT(B42/60)&amp;" min "&amp;MOD(B42,60)&amp;" s"</f>
        <v>12 min 7 s</v>
      </c>
      <c r="D42" s="5" t="s">
        <v>123</v>
      </c>
      <c r="E42" s="4" t="s">
        <v>116</v>
      </c>
      <c r="F42" s="4" t="s">
        <v>12</v>
      </c>
      <c r="G42" s="4" t="s">
        <v>13</v>
      </c>
      <c r="H42" s="5"/>
    </row>
    <row r="43" spans="1:8" x14ac:dyDescent="0.25">
      <c r="A43" s="2" t="s">
        <v>124</v>
      </c>
      <c r="B43" s="3">
        <v>120</v>
      </c>
      <c r="C43" s="4" t="str">
        <f>B43/60&amp;" min"</f>
        <v>2 min</v>
      </c>
      <c r="D43" s="5" t="s">
        <v>125</v>
      </c>
      <c r="E43" s="4" t="s">
        <v>116</v>
      </c>
      <c r="F43" s="4" t="s">
        <v>12</v>
      </c>
      <c r="G43" s="4" t="s">
        <v>13</v>
      </c>
      <c r="H43" s="5"/>
    </row>
    <row r="44" spans="1:8" x14ac:dyDescent="0.25">
      <c r="A44" s="2" t="s">
        <v>126</v>
      </c>
      <c r="B44" s="3">
        <v>10</v>
      </c>
      <c r="C44" s="4" t="str">
        <f>B44&amp;" %"</f>
        <v>10 %</v>
      </c>
      <c r="D44" s="5" t="s">
        <v>127</v>
      </c>
      <c r="E44" s="4" t="s">
        <v>116</v>
      </c>
      <c r="F44" s="4" t="s">
        <v>12</v>
      </c>
      <c r="G44" s="4" t="s">
        <v>13</v>
      </c>
      <c r="H44" s="5" t="s">
        <v>128</v>
      </c>
    </row>
    <row r="45" spans="1:8" x14ac:dyDescent="0.25">
      <c r="A45" s="2" t="s">
        <v>129</v>
      </c>
      <c r="B45" s="3">
        <v>50</v>
      </c>
      <c r="C45" s="4" t="str">
        <f>B45&amp;" %"</f>
        <v>50 %</v>
      </c>
      <c r="D45" s="5" t="s">
        <v>130</v>
      </c>
      <c r="E45" s="4" t="s">
        <v>116</v>
      </c>
      <c r="F45" s="4" t="s">
        <v>12</v>
      </c>
      <c r="G45" s="4" t="s">
        <v>13</v>
      </c>
      <c r="H45" s="5"/>
    </row>
    <row r="46" spans="1:8" x14ac:dyDescent="0.25">
      <c r="A46" s="2" t="s">
        <v>131</v>
      </c>
      <c r="B46" s="3">
        <v>100</v>
      </c>
      <c r="C46" s="4" t="str">
        <f>B46&amp;" %"</f>
        <v>100 %</v>
      </c>
      <c r="D46" s="5" t="s">
        <v>132</v>
      </c>
      <c r="E46" s="4" t="s">
        <v>116</v>
      </c>
      <c r="F46" s="4" t="s">
        <v>12</v>
      </c>
      <c r="G46" s="4" t="s">
        <v>13</v>
      </c>
      <c r="H46" s="5"/>
    </row>
    <row r="47" spans="1:8" ht="25.5" x14ac:dyDescent="0.25">
      <c r="A47" s="2" t="s">
        <v>133</v>
      </c>
      <c r="B47" s="3">
        <v>100</v>
      </c>
      <c r="C47" s="4" t="str">
        <f>B47&amp;" %"</f>
        <v>100 %</v>
      </c>
      <c r="D47" s="5" t="s">
        <v>134</v>
      </c>
      <c r="E47" s="4" t="s">
        <v>116</v>
      </c>
      <c r="F47" s="4" t="s">
        <v>12</v>
      </c>
      <c r="G47" s="4" t="s">
        <v>13</v>
      </c>
      <c r="H47" s="5" t="s">
        <v>135</v>
      </c>
    </row>
    <row r="48" spans="1:8" x14ac:dyDescent="0.25">
      <c r="A48" s="2" t="s">
        <v>136</v>
      </c>
      <c r="B48" s="3">
        <v>2</v>
      </c>
      <c r="C48" s="4" t="str">
        <f>IF(B48=2,"in percentuale",B48)</f>
        <v>in percentuale</v>
      </c>
      <c r="D48" s="5" t="s">
        <v>137</v>
      </c>
      <c r="E48" s="4" t="s">
        <v>116</v>
      </c>
      <c r="F48" s="4" t="s">
        <v>12</v>
      </c>
      <c r="G48" s="4" t="s">
        <v>13</v>
      </c>
      <c r="H48" s="5" t="s">
        <v>138</v>
      </c>
    </row>
    <row r="49" spans="1:8" x14ac:dyDescent="0.25">
      <c r="A49" s="2" t="s">
        <v>139</v>
      </c>
      <c r="B49" s="3">
        <v>1</v>
      </c>
      <c r="C49" s="4" t="str">
        <f>B49&amp;" %"</f>
        <v>1 %</v>
      </c>
      <c r="D49" s="5" t="s">
        <v>140</v>
      </c>
      <c r="E49" s="4" t="s">
        <v>116</v>
      </c>
      <c r="F49" s="4" t="s">
        <v>12</v>
      </c>
      <c r="G49" s="4" t="s">
        <v>13</v>
      </c>
      <c r="H49" s="5"/>
    </row>
    <row r="50" spans="1:8" x14ac:dyDescent="0.25">
      <c r="A50" s="2" t="s">
        <v>141</v>
      </c>
      <c r="B50" s="3">
        <v>1</v>
      </c>
      <c r="C50" s="4" t="str">
        <f>B50&amp;" %"</f>
        <v>1 %</v>
      </c>
      <c r="D50" s="5" t="s">
        <v>140</v>
      </c>
      <c r="E50" s="4" t="s">
        <v>116</v>
      </c>
      <c r="F50" s="4" t="s">
        <v>12</v>
      </c>
      <c r="G50" s="4" t="s">
        <v>13</v>
      </c>
      <c r="H50" s="5"/>
    </row>
    <row r="51" spans="1:8" x14ac:dyDescent="0.25">
      <c r="A51" s="2" t="s">
        <v>142</v>
      </c>
      <c r="B51" s="3">
        <v>1</v>
      </c>
      <c r="C51" s="4" t="str">
        <f>IF(B51=1,"SÌ (attivo)","no")</f>
        <v>SÌ (attivo)</v>
      </c>
      <c r="D51" s="5" t="s">
        <v>143</v>
      </c>
      <c r="E51" s="4" t="s">
        <v>116</v>
      </c>
      <c r="F51" s="4" t="s">
        <v>12</v>
      </c>
      <c r="G51" s="4" t="s">
        <v>13</v>
      </c>
      <c r="H51" s="5"/>
    </row>
    <row r="52" spans="1:8" x14ac:dyDescent="0.25">
      <c r="A52" s="2" t="s">
        <v>144</v>
      </c>
      <c r="B52" s="3" t="s">
        <v>145</v>
      </c>
      <c r="C52" s="4" t="s">
        <v>146</v>
      </c>
      <c r="D52" s="5" t="s">
        <v>147</v>
      </c>
      <c r="E52" s="4" t="s">
        <v>116</v>
      </c>
      <c r="F52" s="4" t="s">
        <v>12</v>
      </c>
      <c r="G52" s="4" t="s">
        <v>13</v>
      </c>
      <c r="H52" s="5" t="s">
        <v>148</v>
      </c>
    </row>
    <row r="53" spans="1:8" ht="25.5" x14ac:dyDescent="0.25">
      <c r="A53" s="2" t="s">
        <v>149</v>
      </c>
      <c r="B53" s="3">
        <v>1</v>
      </c>
      <c r="C53" s="4" t="str">
        <f>IF(AND(B53&gt;=1,B53&lt;=3),CHOOSE(B53,"Disattivato","Attivo","Silenziato"),"?")</f>
        <v>Disattivato</v>
      </c>
      <c r="D53" s="5" t="s">
        <v>150</v>
      </c>
      <c r="E53" s="4" t="s">
        <v>151</v>
      </c>
      <c r="F53" s="4" t="s">
        <v>12</v>
      </c>
      <c r="G53" s="4" t="s">
        <v>13</v>
      </c>
      <c r="H53" s="5" t="s">
        <v>152</v>
      </c>
    </row>
    <row r="54" spans="1:8" x14ac:dyDescent="0.25">
      <c r="A54" s="2" t="s">
        <v>153</v>
      </c>
      <c r="B54" s="3">
        <v>1</v>
      </c>
      <c r="C54" s="4" t="str">
        <f>IF(AND(B54&gt;=1,B54&lt;=3),CHOOSE(B54,"Disattivato","Attivo","Silenziato"),"?")</f>
        <v>Disattivato</v>
      </c>
      <c r="D54" s="5" t="s">
        <v>154</v>
      </c>
      <c r="E54" s="4" t="s">
        <v>151</v>
      </c>
      <c r="F54" s="4" t="s">
        <v>12</v>
      </c>
      <c r="G54" s="4" t="s">
        <v>13</v>
      </c>
      <c r="H54" s="5"/>
    </row>
    <row r="55" spans="1:8" ht="25.5" x14ac:dyDescent="0.25">
      <c r="A55" s="2" t="s">
        <v>155</v>
      </c>
      <c r="B55" s="3">
        <v>-1</v>
      </c>
      <c r="C55" s="4" t="str">
        <f t="shared" ref="C55:C61" si="0">IF(B55&lt;0,"nessuno programmato",B55&amp;" s")</f>
        <v>nessuno programmato</v>
      </c>
      <c r="D55" s="5" t="s">
        <v>156</v>
      </c>
      <c r="E55" s="4" t="s">
        <v>151</v>
      </c>
      <c r="F55" s="4" t="s">
        <v>12</v>
      </c>
      <c r="G55" s="4" t="s">
        <v>13</v>
      </c>
      <c r="H55" s="5" t="s">
        <v>157</v>
      </c>
    </row>
    <row r="56" spans="1:8" x14ac:dyDescent="0.25">
      <c r="A56" s="2" t="s">
        <v>158</v>
      </c>
      <c r="B56" s="3">
        <v>0</v>
      </c>
      <c r="C56" s="4" t="str">
        <f t="shared" si="0"/>
        <v>0 s</v>
      </c>
      <c r="D56" s="5" t="s">
        <v>159</v>
      </c>
      <c r="E56" s="4" t="s">
        <v>151</v>
      </c>
      <c r="F56" s="4" t="s">
        <v>12</v>
      </c>
      <c r="G56" s="4" t="s">
        <v>13</v>
      </c>
      <c r="H56" s="5"/>
    </row>
    <row r="57" spans="1:8" x14ac:dyDescent="0.25">
      <c r="A57" s="2" t="s">
        <v>160</v>
      </c>
      <c r="B57" s="3">
        <v>0</v>
      </c>
      <c r="C57" s="4" t="str">
        <f t="shared" si="0"/>
        <v>0 s</v>
      </c>
      <c r="D57" s="5" t="s">
        <v>161</v>
      </c>
      <c r="E57" s="4" t="s">
        <v>151</v>
      </c>
      <c r="F57" s="4" t="s">
        <v>12</v>
      </c>
      <c r="G57" s="4" t="s">
        <v>13</v>
      </c>
      <c r="H57" s="5"/>
    </row>
    <row r="58" spans="1:8" x14ac:dyDescent="0.25">
      <c r="A58" s="2" t="s">
        <v>162</v>
      </c>
      <c r="B58" s="3">
        <v>-1</v>
      </c>
      <c r="C58" s="4" t="str">
        <f t="shared" si="0"/>
        <v>nessuno programmato</v>
      </c>
      <c r="D58" s="5" t="s">
        <v>163</v>
      </c>
      <c r="E58" s="4" t="s">
        <v>151</v>
      </c>
      <c r="F58" s="4" t="s">
        <v>12</v>
      </c>
      <c r="G58" s="4" t="s">
        <v>13</v>
      </c>
      <c r="H58" s="5"/>
    </row>
    <row r="59" spans="1:8" x14ac:dyDescent="0.25">
      <c r="A59" s="2" t="s">
        <v>164</v>
      </c>
      <c r="B59" s="3">
        <v>0</v>
      </c>
      <c r="C59" s="4" t="str">
        <f t="shared" si="0"/>
        <v>0 s</v>
      </c>
      <c r="D59" s="5" t="s">
        <v>165</v>
      </c>
      <c r="E59" s="4" t="s">
        <v>151</v>
      </c>
      <c r="F59" s="4" t="s">
        <v>12</v>
      </c>
      <c r="G59" s="4" t="s">
        <v>13</v>
      </c>
      <c r="H59" s="5"/>
    </row>
    <row r="60" spans="1:8" x14ac:dyDescent="0.25">
      <c r="A60" s="2" t="s">
        <v>166</v>
      </c>
      <c r="B60" s="3">
        <v>-1</v>
      </c>
      <c r="C60" s="4" t="str">
        <f t="shared" si="0"/>
        <v>nessuno programmato</v>
      </c>
      <c r="D60" s="5" t="s">
        <v>167</v>
      </c>
      <c r="E60" s="4" t="s">
        <v>151</v>
      </c>
      <c r="F60" s="4" t="s">
        <v>41</v>
      </c>
      <c r="G60" s="4" t="s">
        <v>42</v>
      </c>
      <c r="H60" s="5" t="s">
        <v>168</v>
      </c>
    </row>
    <row r="61" spans="1:8" x14ac:dyDescent="0.25">
      <c r="A61" s="2" t="s">
        <v>169</v>
      </c>
      <c r="B61" s="3">
        <v>0</v>
      </c>
      <c r="C61" s="4" t="str">
        <f t="shared" si="0"/>
        <v>0 s</v>
      </c>
      <c r="D61" s="5" t="s">
        <v>170</v>
      </c>
      <c r="E61" s="4" t="s">
        <v>151</v>
      </c>
      <c r="F61" s="4" t="s">
        <v>41</v>
      </c>
      <c r="G61" s="4" t="s">
        <v>42</v>
      </c>
      <c r="H61" s="5" t="s">
        <v>171</v>
      </c>
    </row>
    <row r="62" spans="1:8" x14ac:dyDescent="0.25">
      <c r="A62" s="2" t="s">
        <v>172</v>
      </c>
      <c r="B62" s="3">
        <v>0</v>
      </c>
      <c r="C62" s="4"/>
      <c r="D62" s="5" t="s">
        <v>173</v>
      </c>
      <c r="E62" s="4" t="s">
        <v>151</v>
      </c>
      <c r="F62" s="4" t="s">
        <v>41</v>
      </c>
      <c r="G62" s="4" t="s">
        <v>42</v>
      </c>
      <c r="H62" s="5" t="s">
        <v>174</v>
      </c>
    </row>
    <row r="63" spans="1:8" x14ac:dyDescent="0.25">
      <c r="A63" s="2" t="s">
        <v>175</v>
      </c>
      <c r="B63" s="3">
        <v>0</v>
      </c>
      <c r="C63" s="4"/>
      <c r="D63" s="5" t="s">
        <v>176</v>
      </c>
      <c r="E63" s="4" t="s">
        <v>151</v>
      </c>
      <c r="F63" s="4" t="s">
        <v>41</v>
      </c>
      <c r="G63" s="4" t="s">
        <v>42</v>
      </c>
      <c r="H63" s="5" t="s">
        <v>177</v>
      </c>
    </row>
    <row r="64" spans="1:8" x14ac:dyDescent="0.25">
      <c r="A64" s="2" t="s">
        <v>178</v>
      </c>
      <c r="B64" s="3">
        <v>0</v>
      </c>
      <c r="C64" s="4"/>
      <c r="D64" s="5" t="s">
        <v>179</v>
      </c>
      <c r="E64" s="4" t="s">
        <v>151</v>
      </c>
      <c r="F64" s="4" t="s">
        <v>41</v>
      </c>
      <c r="G64" s="4" t="s">
        <v>42</v>
      </c>
      <c r="H64" s="5" t="s">
        <v>180</v>
      </c>
    </row>
    <row r="65" spans="1:8" x14ac:dyDescent="0.25">
      <c r="A65" s="2" t="s">
        <v>181</v>
      </c>
      <c r="B65" s="3">
        <v>1</v>
      </c>
      <c r="C65" s="4" t="str">
        <f t="shared" ref="C65:C90" si="1">IF(B65=1,"SÌ (attivo)","no")</f>
        <v>SÌ (attivo)</v>
      </c>
      <c r="D65" s="5" t="s">
        <v>182</v>
      </c>
      <c r="E65" s="4" t="s">
        <v>183</v>
      </c>
      <c r="F65" s="4" t="s">
        <v>12</v>
      </c>
      <c r="G65" s="4" t="s">
        <v>13</v>
      </c>
      <c r="H65" s="5" t="s">
        <v>184</v>
      </c>
    </row>
    <row r="66" spans="1:8" x14ac:dyDescent="0.25">
      <c r="A66" s="2" t="s">
        <v>185</v>
      </c>
      <c r="B66" s="3">
        <v>1</v>
      </c>
      <c r="C66" s="4" t="str">
        <f t="shared" si="1"/>
        <v>SÌ (attivo)</v>
      </c>
      <c r="D66" s="5" t="s">
        <v>186</v>
      </c>
      <c r="E66" s="4" t="s">
        <v>183</v>
      </c>
      <c r="F66" s="4" t="s">
        <v>12</v>
      </c>
      <c r="G66" s="4" t="s">
        <v>13</v>
      </c>
      <c r="H66" s="5" t="s">
        <v>187</v>
      </c>
    </row>
    <row r="67" spans="1:8" x14ac:dyDescent="0.25">
      <c r="A67" s="2" t="s">
        <v>188</v>
      </c>
      <c r="B67" s="3">
        <v>0</v>
      </c>
      <c r="C67" s="4" t="str">
        <f t="shared" si="1"/>
        <v>no</v>
      </c>
      <c r="D67" s="5" t="s">
        <v>189</v>
      </c>
      <c r="E67" s="4" t="s">
        <v>183</v>
      </c>
      <c r="F67" s="4" t="s">
        <v>12</v>
      </c>
      <c r="G67" s="4" t="s">
        <v>13</v>
      </c>
      <c r="H67" s="5" t="s">
        <v>190</v>
      </c>
    </row>
    <row r="68" spans="1:8" x14ac:dyDescent="0.25">
      <c r="A68" s="2" t="s">
        <v>191</v>
      </c>
      <c r="B68" s="3">
        <v>0</v>
      </c>
      <c r="C68" s="4" t="str">
        <f t="shared" si="1"/>
        <v>no</v>
      </c>
      <c r="D68" s="5" t="s">
        <v>192</v>
      </c>
      <c r="E68" s="4" t="s">
        <v>183</v>
      </c>
      <c r="F68" s="4" t="s">
        <v>12</v>
      </c>
      <c r="G68" s="4" t="s">
        <v>13</v>
      </c>
      <c r="H68" s="5" t="s">
        <v>193</v>
      </c>
    </row>
    <row r="69" spans="1:8" x14ac:dyDescent="0.25">
      <c r="A69" s="2" t="s">
        <v>194</v>
      </c>
      <c r="B69" s="3">
        <v>0</v>
      </c>
      <c r="C69" s="4" t="str">
        <f t="shared" si="1"/>
        <v>no</v>
      </c>
      <c r="D69" s="5" t="s">
        <v>195</v>
      </c>
      <c r="E69" s="4" t="s">
        <v>183</v>
      </c>
      <c r="F69" s="4" t="s">
        <v>12</v>
      </c>
      <c r="G69" s="4" t="s">
        <v>13</v>
      </c>
      <c r="H69" s="5" t="s">
        <v>196</v>
      </c>
    </row>
    <row r="70" spans="1:8" x14ac:dyDescent="0.25">
      <c r="A70" s="2" t="s">
        <v>197</v>
      </c>
      <c r="B70" s="3">
        <v>0</v>
      </c>
      <c r="C70" s="4" t="str">
        <f t="shared" si="1"/>
        <v>no</v>
      </c>
      <c r="D70" s="5" t="s">
        <v>198</v>
      </c>
      <c r="E70" s="4" t="s">
        <v>183</v>
      </c>
      <c r="F70" s="4" t="s">
        <v>12</v>
      </c>
      <c r="G70" s="4" t="s">
        <v>13</v>
      </c>
      <c r="H70" s="5" t="s">
        <v>199</v>
      </c>
    </row>
    <row r="71" spans="1:8" x14ac:dyDescent="0.25">
      <c r="A71" s="2" t="s">
        <v>200</v>
      </c>
      <c r="B71" s="3">
        <v>0</v>
      </c>
      <c r="C71" s="4" t="str">
        <f t="shared" si="1"/>
        <v>no</v>
      </c>
      <c r="D71" s="5" t="s">
        <v>201</v>
      </c>
      <c r="E71" s="4" t="s">
        <v>183</v>
      </c>
      <c r="F71" s="4" t="s">
        <v>12</v>
      </c>
      <c r="G71" s="4" t="s">
        <v>13</v>
      </c>
      <c r="H71" s="5" t="s">
        <v>202</v>
      </c>
    </row>
    <row r="72" spans="1:8" x14ac:dyDescent="0.25">
      <c r="A72" s="2" t="s">
        <v>203</v>
      </c>
      <c r="B72" s="3">
        <v>0</v>
      </c>
      <c r="C72" s="4" t="str">
        <f t="shared" si="1"/>
        <v>no</v>
      </c>
      <c r="D72" s="5" t="s">
        <v>204</v>
      </c>
      <c r="E72" s="4" t="s">
        <v>183</v>
      </c>
      <c r="F72" s="4" t="s">
        <v>12</v>
      </c>
      <c r="G72" s="4" t="s">
        <v>13</v>
      </c>
      <c r="H72" s="5" t="s">
        <v>205</v>
      </c>
    </row>
    <row r="73" spans="1:8" x14ac:dyDescent="0.25">
      <c r="A73" s="2" t="s">
        <v>206</v>
      </c>
      <c r="B73" s="3">
        <v>0</v>
      </c>
      <c r="C73" s="4" t="str">
        <f t="shared" si="1"/>
        <v>no</v>
      </c>
      <c r="D73" s="5" t="s">
        <v>207</v>
      </c>
      <c r="E73" s="4" t="s">
        <v>183</v>
      </c>
      <c r="F73" s="4" t="s">
        <v>12</v>
      </c>
      <c r="G73" s="4" t="s">
        <v>13</v>
      </c>
      <c r="H73" s="5" t="s">
        <v>208</v>
      </c>
    </row>
    <row r="74" spans="1:8" x14ac:dyDescent="0.25">
      <c r="A74" s="2" t="s">
        <v>209</v>
      </c>
      <c r="B74" s="3">
        <v>0</v>
      </c>
      <c r="C74" s="4" t="str">
        <f t="shared" si="1"/>
        <v>no</v>
      </c>
      <c r="D74" s="5" t="s">
        <v>210</v>
      </c>
      <c r="E74" s="4" t="s">
        <v>183</v>
      </c>
      <c r="F74" s="4" t="s">
        <v>12</v>
      </c>
      <c r="G74" s="4" t="s">
        <v>13</v>
      </c>
      <c r="H74" s="5" t="s">
        <v>211</v>
      </c>
    </row>
    <row r="75" spans="1:8" x14ac:dyDescent="0.25">
      <c r="A75" s="2" t="s">
        <v>212</v>
      </c>
      <c r="B75" s="3">
        <v>0</v>
      </c>
      <c r="C75" s="4" t="str">
        <f t="shared" si="1"/>
        <v>no</v>
      </c>
      <c r="D75" s="5" t="s">
        <v>213</v>
      </c>
      <c r="E75" s="4" t="s">
        <v>183</v>
      </c>
      <c r="F75" s="4" t="s">
        <v>12</v>
      </c>
      <c r="G75" s="4" t="s">
        <v>13</v>
      </c>
      <c r="H75" s="5" t="s">
        <v>214</v>
      </c>
    </row>
    <row r="76" spans="1:8" x14ac:dyDescent="0.25">
      <c r="A76" s="2" t="s">
        <v>215</v>
      </c>
      <c r="B76" s="3">
        <v>0</v>
      </c>
      <c r="C76" s="4" t="str">
        <f t="shared" si="1"/>
        <v>no</v>
      </c>
      <c r="D76" s="5" t="s">
        <v>216</v>
      </c>
      <c r="E76" s="4" t="s">
        <v>183</v>
      </c>
      <c r="F76" s="4" t="s">
        <v>12</v>
      </c>
      <c r="G76" s="4" t="s">
        <v>13</v>
      </c>
      <c r="H76" s="5" t="s">
        <v>217</v>
      </c>
    </row>
    <row r="77" spans="1:8" x14ac:dyDescent="0.25">
      <c r="A77" s="2" t="s">
        <v>218</v>
      </c>
      <c r="B77" s="3">
        <v>0</v>
      </c>
      <c r="C77" s="4" t="str">
        <f t="shared" si="1"/>
        <v>no</v>
      </c>
      <c r="D77" s="5" t="s">
        <v>219</v>
      </c>
      <c r="E77" s="4" t="s">
        <v>183</v>
      </c>
      <c r="F77" s="4" t="s">
        <v>41</v>
      </c>
      <c r="G77" s="4" t="s">
        <v>106</v>
      </c>
      <c r="H77" s="5" t="s">
        <v>220</v>
      </c>
    </row>
    <row r="78" spans="1:8" x14ac:dyDescent="0.25">
      <c r="A78" s="2" t="s">
        <v>221</v>
      </c>
      <c r="B78" s="3">
        <v>1</v>
      </c>
      <c r="C78" s="4" t="str">
        <f t="shared" si="1"/>
        <v>SÌ (attivo)</v>
      </c>
      <c r="D78" s="5" t="s">
        <v>222</v>
      </c>
      <c r="E78" s="4" t="s">
        <v>183</v>
      </c>
      <c r="F78" s="4" t="s">
        <v>12</v>
      </c>
      <c r="G78" s="4" t="s">
        <v>13</v>
      </c>
      <c r="H78" s="5" t="s">
        <v>223</v>
      </c>
    </row>
    <row r="79" spans="1:8" x14ac:dyDescent="0.25">
      <c r="A79" s="2" t="s">
        <v>224</v>
      </c>
      <c r="B79" s="3">
        <v>1</v>
      </c>
      <c r="C79" s="4" t="str">
        <f t="shared" si="1"/>
        <v>SÌ (attivo)</v>
      </c>
      <c r="D79" s="5" t="s">
        <v>225</v>
      </c>
      <c r="E79" s="4" t="s">
        <v>183</v>
      </c>
      <c r="F79" s="4" t="s">
        <v>12</v>
      </c>
      <c r="G79" s="4" t="s">
        <v>13</v>
      </c>
      <c r="H79" s="5" t="s">
        <v>223</v>
      </c>
    </row>
    <row r="80" spans="1:8" x14ac:dyDescent="0.25">
      <c r="A80" s="2" t="s">
        <v>226</v>
      </c>
      <c r="B80" s="3">
        <v>0</v>
      </c>
      <c r="C80" s="4" t="str">
        <f t="shared" si="1"/>
        <v>no</v>
      </c>
      <c r="D80" s="5" t="s">
        <v>227</v>
      </c>
      <c r="E80" s="4" t="s">
        <v>183</v>
      </c>
      <c r="F80" s="4" t="s">
        <v>12</v>
      </c>
      <c r="G80" s="4" t="s">
        <v>13</v>
      </c>
      <c r="H80" s="5" t="s">
        <v>223</v>
      </c>
    </row>
    <row r="81" spans="1:8" x14ac:dyDescent="0.25">
      <c r="A81" s="2" t="s">
        <v>228</v>
      </c>
      <c r="B81" s="3">
        <v>0</v>
      </c>
      <c r="C81" s="4" t="str">
        <f t="shared" si="1"/>
        <v>no</v>
      </c>
      <c r="D81" s="5" t="s">
        <v>229</v>
      </c>
      <c r="E81" s="4" t="s">
        <v>183</v>
      </c>
      <c r="F81" s="4" t="s">
        <v>12</v>
      </c>
      <c r="G81" s="4" t="s">
        <v>13</v>
      </c>
      <c r="H81" s="5" t="s">
        <v>223</v>
      </c>
    </row>
    <row r="82" spans="1:8" x14ac:dyDescent="0.25">
      <c r="A82" s="2" t="s">
        <v>230</v>
      </c>
      <c r="B82" s="3">
        <v>0</v>
      </c>
      <c r="C82" s="4" t="str">
        <f t="shared" si="1"/>
        <v>no</v>
      </c>
      <c r="D82" s="5" t="s">
        <v>231</v>
      </c>
      <c r="E82" s="4" t="s">
        <v>183</v>
      </c>
      <c r="F82" s="4" t="s">
        <v>12</v>
      </c>
      <c r="G82" s="4" t="s">
        <v>13</v>
      </c>
      <c r="H82" s="5" t="s">
        <v>223</v>
      </c>
    </row>
    <row r="83" spans="1:8" x14ac:dyDescent="0.25">
      <c r="A83" s="2" t="s">
        <v>232</v>
      </c>
      <c r="B83" s="3">
        <v>0</v>
      </c>
      <c r="C83" s="4" t="str">
        <f t="shared" si="1"/>
        <v>no</v>
      </c>
      <c r="D83" s="5" t="s">
        <v>233</v>
      </c>
      <c r="E83" s="4" t="s">
        <v>183</v>
      </c>
      <c r="F83" s="4" t="s">
        <v>12</v>
      </c>
      <c r="G83" s="4" t="s">
        <v>13</v>
      </c>
      <c r="H83" s="5" t="s">
        <v>223</v>
      </c>
    </row>
    <row r="84" spans="1:8" x14ac:dyDescent="0.25">
      <c r="A84" s="2" t="s">
        <v>234</v>
      </c>
      <c r="B84" s="3">
        <v>0</v>
      </c>
      <c r="C84" s="4" t="str">
        <f t="shared" si="1"/>
        <v>no</v>
      </c>
      <c r="D84" s="5" t="s">
        <v>235</v>
      </c>
      <c r="E84" s="4" t="s">
        <v>183</v>
      </c>
      <c r="F84" s="4" t="s">
        <v>12</v>
      </c>
      <c r="G84" s="4" t="s">
        <v>13</v>
      </c>
      <c r="H84" s="5" t="s">
        <v>223</v>
      </c>
    </row>
    <row r="85" spans="1:8" x14ac:dyDescent="0.25">
      <c r="A85" s="2" t="s">
        <v>236</v>
      </c>
      <c r="B85" s="3">
        <v>0</v>
      </c>
      <c r="C85" s="4" t="str">
        <f t="shared" si="1"/>
        <v>no</v>
      </c>
      <c r="D85" s="5" t="s">
        <v>237</v>
      </c>
      <c r="E85" s="4" t="s">
        <v>183</v>
      </c>
      <c r="F85" s="4" t="s">
        <v>12</v>
      </c>
      <c r="G85" s="4" t="s">
        <v>13</v>
      </c>
      <c r="H85" s="5" t="s">
        <v>223</v>
      </c>
    </row>
    <row r="86" spans="1:8" x14ac:dyDescent="0.25">
      <c r="A86" s="2" t="s">
        <v>238</v>
      </c>
      <c r="B86" s="3">
        <v>0</v>
      </c>
      <c r="C86" s="4" t="str">
        <f t="shared" si="1"/>
        <v>no</v>
      </c>
      <c r="D86" s="5" t="s">
        <v>239</v>
      </c>
      <c r="E86" s="4" t="s">
        <v>183</v>
      </c>
      <c r="F86" s="4" t="s">
        <v>12</v>
      </c>
      <c r="G86" s="4" t="s">
        <v>13</v>
      </c>
      <c r="H86" s="5" t="s">
        <v>223</v>
      </c>
    </row>
    <row r="87" spans="1:8" x14ac:dyDescent="0.25">
      <c r="A87" s="2" t="s">
        <v>240</v>
      </c>
      <c r="B87" s="3">
        <v>0</v>
      </c>
      <c r="C87" s="4" t="str">
        <f t="shared" si="1"/>
        <v>no</v>
      </c>
      <c r="D87" s="5" t="s">
        <v>241</v>
      </c>
      <c r="E87" s="4" t="s">
        <v>183</v>
      </c>
      <c r="F87" s="4" t="s">
        <v>12</v>
      </c>
      <c r="G87" s="4" t="s">
        <v>13</v>
      </c>
      <c r="H87" s="5" t="s">
        <v>223</v>
      </c>
    </row>
    <row r="88" spans="1:8" x14ac:dyDescent="0.25">
      <c r="A88" s="2" t="s">
        <v>242</v>
      </c>
      <c r="B88" s="3">
        <v>0</v>
      </c>
      <c r="C88" s="4" t="str">
        <f t="shared" si="1"/>
        <v>no</v>
      </c>
      <c r="D88" s="5" t="s">
        <v>243</v>
      </c>
      <c r="E88" s="4" t="s">
        <v>183</v>
      </c>
      <c r="F88" s="4" t="s">
        <v>12</v>
      </c>
      <c r="G88" s="4" t="s">
        <v>13</v>
      </c>
      <c r="H88" s="5" t="s">
        <v>223</v>
      </c>
    </row>
    <row r="89" spans="1:8" x14ac:dyDescent="0.25">
      <c r="A89" s="2" t="s">
        <v>244</v>
      </c>
      <c r="B89" s="3">
        <v>0</v>
      </c>
      <c r="C89" s="4" t="str">
        <f t="shared" si="1"/>
        <v>no</v>
      </c>
      <c r="D89" s="5" t="s">
        <v>245</v>
      </c>
      <c r="E89" s="4" t="s">
        <v>183</v>
      </c>
      <c r="F89" s="4" t="s">
        <v>12</v>
      </c>
      <c r="G89" s="4" t="s">
        <v>13</v>
      </c>
      <c r="H89" s="5" t="s">
        <v>223</v>
      </c>
    </row>
    <row r="90" spans="1:8" x14ac:dyDescent="0.25">
      <c r="A90" s="2" t="s">
        <v>246</v>
      </c>
      <c r="B90" s="3">
        <v>0</v>
      </c>
      <c r="C90" s="4" t="str">
        <f t="shared" si="1"/>
        <v>no</v>
      </c>
      <c r="D90" s="5" t="s">
        <v>247</v>
      </c>
      <c r="E90" s="4" t="s">
        <v>183</v>
      </c>
      <c r="F90" s="4" t="s">
        <v>41</v>
      </c>
      <c r="G90" s="4" t="s">
        <v>106</v>
      </c>
      <c r="H90" s="5"/>
    </row>
    <row r="91" spans="1:8" x14ac:dyDescent="0.25">
      <c r="A91" s="2" t="s">
        <v>248</v>
      </c>
      <c r="B91" s="3">
        <v>0</v>
      </c>
      <c r="C91" s="4"/>
      <c r="D91" s="5" t="s">
        <v>249</v>
      </c>
      <c r="E91" s="4" t="s">
        <v>250</v>
      </c>
      <c r="F91" s="4" t="s">
        <v>41</v>
      </c>
      <c r="G91" s="4" t="s">
        <v>106</v>
      </c>
      <c r="H91" s="5"/>
    </row>
    <row r="92" spans="1:8" ht="25.5" x14ac:dyDescent="0.25">
      <c r="A92" s="2" t="s">
        <v>251</v>
      </c>
      <c r="B92" s="3">
        <v>50462976</v>
      </c>
      <c r="C92" s="4" t="str">
        <f>"esadecimale "&amp;DEC2HEX(B92)</f>
        <v>esadecimale 3020100</v>
      </c>
      <c r="D92" s="5" t="s">
        <v>249</v>
      </c>
      <c r="E92" s="4" t="s">
        <v>250</v>
      </c>
      <c r="F92" s="4" t="s">
        <v>41</v>
      </c>
      <c r="G92" s="4" t="s">
        <v>106</v>
      </c>
      <c r="H92" s="5" t="s">
        <v>252</v>
      </c>
    </row>
    <row r="93" spans="1:8" x14ac:dyDescent="0.25">
      <c r="A93" s="2" t="s">
        <v>253</v>
      </c>
      <c r="B93" s="3">
        <v>14</v>
      </c>
      <c r="C93" s="4"/>
      <c r="D93" s="5" t="s">
        <v>249</v>
      </c>
      <c r="E93" s="4" t="s">
        <v>250</v>
      </c>
      <c r="F93" s="4" t="s">
        <v>41</v>
      </c>
      <c r="G93" s="4" t="s">
        <v>106</v>
      </c>
      <c r="H93" s="5"/>
    </row>
    <row r="94" spans="1:8" x14ac:dyDescent="0.25">
      <c r="A94" s="2" t="s">
        <v>254</v>
      </c>
      <c r="B94" s="3">
        <v>0</v>
      </c>
      <c r="C94" s="4"/>
      <c r="D94" s="5" t="s">
        <v>255</v>
      </c>
      <c r="E94" s="4" t="s">
        <v>250</v>
      </c>
      <c r="F94" s="4" t="s">
        <v>41</v>
      </c>
      <c r="G94" s="4" t="s">
        <v>106</v>
      </c>
      <c r="H94" s="5"/>
    </row>
    <row r="95" spans="1:8" x14ac:dyDescent="0.25">
      <c r="A95" s="2" t="s">
        <v>256</v>
      </c>
      <c r="B95" s="3">
        <v>0</v>
      </c>
      <c r="C95" s="4"/>
      <c r="D95" s="5" t="s">
        <v>255</v>
      </c>
      <c r="E95" s="4" t="s">
        <v>250</v>
      </c>
      <c r="F95" s="4" t="s">
        <v>41</v>
      </c>
      <c r="G95" s="4" t="s">
        <v>106</v>
      </c>
      <c r="H95" s="5"/>
    </row>
    <row r="96" spans="1:8" x14ac:dyDescent="0.25">
      <c r="A96" s="2" t="s">
        <v>257</v>
      </c>
      <c r="B96" s="3">
        <v>7</v>
      </c>
      <c r="C96" s="4"/>
      <c r="D96" s="5" t="s">
        <v>255</v>
      </c>
      <c r="E96" s="4" t="s">
        <v>250</v>
      </c>
      <c r="F96" s="4" t="s">
        <v>41</v>
      </c>
      <c r="G96" s="4" t="s">
        <v>106</v>
      </c>
      <c r="H96" s="5" t="s">
        <v>258</v>
      </c>
    </row>
    <row r="97" spans="1:8" x14ac:dyDescent="0.25">
      <c r="A97" s="2" t="s">
        <v>259</v>
      </c>
      <c r="B97" s="3">
        <v>126</v>
      </c>
      <c r="C97" s="4"/>
      <c r="D97" s="5" t="s">
        <v>112</v>
      </c>
      <c r="E97" s="4" t="s">
        <v>250</v>
      </c>
      <c r="F97" s="4" t="s">
        <v>41</v>
      </c>
      <c r="G97" s="4" t="s">
        <v>106</v>
      </c>
      <c r="H97" s="5" t="s">
        <v>260</v>
      </c>
    </row>
    <row r="98" spans="1:8" x14ac:dyDescent="0.25">
      <c r="A98" s="2" t="s">
        <v>261</v>
      </c>
      <c r="B98" s="3">
        <v>150</v>
      </c>
      <c r="C98" s="4"/>
      <c r="D98" s="5" t="s">
        <v>112</v>
      </c>
      <c r="E98" s="4" t="s">
        <v>250</v>
      </c>
      <c r="F98" s="4" t="s">
        <v>41</v>
      </c>
      <c r="G98" s="4" t="s">
        <v>106</v>
      </c>
      <c r="H98" s="5" t="s">
        <v>260</v>
      </c>
    </row>
  </sheetData>
  <autoFilter ref="A1:H98" xr:uid="{00000000-0009-0000-0000-000000000000}"/>
  <conditionalFormatting sqref="A2:H98">
    <cfRule type="expression" dxfId="2" priority="1">
      <formula>$G2="Certo"</formula>
    </cfRule>
    <cfRule type="expression" dxfId="1" priority="2">
      <formula>$G2="Probabile"</formula>
    </cfRule>
    <cfRule type="expression" dxfId="0" priority="3">
      <formula>$G2="Sconosciuto"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18" customWidth="1"/>
    <col min="2" max="2" width="110" customWidth="1"/>
  </cols>
  <sheetData>
    <row r="1" spans="1:2" ht="31.5" x14ac:dyDescent="0.25">
      <c r="A1" s="8" t="s">
        <v>262</v>
      </c>
      <c r="B1" s="9"/>
    </row>
    <row r="2" spans="1:2" x14ac:dyDescent="0.25">
      <c r="A2" s="10" t="s">
        <v>263</v>
      </c>
      <c r="B2" s="9" t="s">
        <v>264</v>
      </c>
    </row>
    <row r="3" spans="1:2" x14ac:dyDescent="0.25">
      <c r="A3" s="10" t="s">
        <v>12</v>
      </c>
      <c r="B3" s="9" t="s">
        <v>265</v>
      </c>
    </row>
    <row r="4" spans="1:2" ht="25.5" x14ac:dyDescent="0.25">
      <c r="A4" s="10" t="s">
        <v>266</v>
      </c>
      <c r="B4" s="9" t="s">
        <v>267</v>
      </c>
    </row>
    <row r="5" spans="1:2" ht="25.5" x14ac:dyDescent="0.25">
      <c r="A5" s="10" t="s">
        <v>268</v>
      </c>
      <c r="B5" s="9" t="s">
        <v>269</v>
      </c>
    </row>
    <row r="6" spans="1:2" x14ac:dyDescent="0.25">
      <c r="A6" s="10"/>
      <c r="B6" s="9"/>
    </row>
    <row r="7" spans="1:2" ht="15.75" x14ac:dyDescent="0.25">
      <c r="A7" s="8" t="s">
        <v>6</v>
      </c>
      <c r="B7" s="9"/>
    </row>
    <row r="8" spans="1:2" x14ac:dyDescent="0.25">
      <c r="A8" s="11" t="s">
        <v>13</v>
      </c>
      <c r="B8" s="9" t="s">
        <v>270</v>
      </c>
    </row>
    <row r="9" spans="1:2" x14ac:dyDescent="0.25">
      <c r="A9" s="12" t="s">
        <v>42</v>
      </c>
      <c r="B9" s="9" t="s">
        <v>271</v>
      </c>
    </row>
    <row r="10" spans="1:2" x14ac:dyDescent="0.25">
      <c r="A10" s="13" t="s">
        <v>106</v>
      </c>
      <c r="B10" s="9" t="s">
        <v>272</v>
      </c>
    </row>
    <row r="11" spans="1:2" x14ac:dyDescent="0.25">
      <c r="A11" s="10"/>
      <c r="B11" s="9"/>
    </row>
    <row r="12" spans="1:2" x14ac:dyDescent="0.25">
      <c r="A12" s="10" t="s">
        <v>273</v>
      </c>
      <c r="B12" s="9" t="s">
        <v>274</v>
      </c>
    </row>
    <row r="13" spans="1:2" x14ac:dyDescent="0.25">
      <c r="A13" s="10" t="s">
        <v>275</v>
      </c>
      <c r="B13" s="9" t="s">
        <v>276</v>
      </c>
    </row>
    <row r="14" spans="1:2" ht="25.5" x14ac:dyDescent="0.25">
      <c r="A14" s="10" t="s">
        <v>277</v>
      </c>
      <c r="B14" s="9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Codici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ups-monitor</dc:creator>
  <cp:lastModifiedBy>ups-monitor</cp:lastModifiedBy>
  <dcterms:created xsi:type="dcterms:W3CDTF">2026-10-27T12:38:23Z</dcterms:created>
  <dcterms:modified xsi:type="dcterms:W3CDTF">2026-10-27T12:39:01Z</dcterms:modified>
</cp:coreProperties>
</file>